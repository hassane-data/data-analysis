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1EF04558-C580-41F5-99EE-0E207910E6CD}" xr6:coauthVersionLast="47" xr6:coauthVersionMax="47" xr10:uidLastSave="{00000000-0000-0000-0000-000000000000}"/>
  <bookViews>
    <workbookView xWindow="-108" yWindow="-108" windowWidth="23256" windowHeight="12576" xr2:uid="{C9523B1E-8304-42F0-8297-F39105A833E9}"/>
  </bookViews>
  <sheets>
    <sheet name="Payro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4" i="1" l="1"/>
  <c r="AD23" i="1"/>
  <c r="AD22" i="1"/>
  <c r="AD21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4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A4" i="1"/>
  <c r="Y4" i="1"/>
  <c r="Z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Z3" i="1"/>
  <c r="AA3" i="1" s="1"/>
  <c r="AB3" i="1" s="1"/>
  <c r="Y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S5" i="1"/>
  <c r="S6" i="1"/>
  <c r="S7" i="1"/>
  <c r="X7" i="1" s="1"/>
  <c r="S8" i="1"/>
  <c r="S9" i="1"/>
  <c r="S10" i="1"/>
  <c r="S11" i="1"/>
  <c r="S12" i="1"/>
  <c r="S13" i="1"/>
  <c r="S14" i="1"/>
  <c r="S15" i="1"/>
  <c r="S16" i="1"/>
  <c r="S17" i="1"/>
  <c r="S18" i="1"/>
  <c r="S19" i="1"/>
  <c r="S4" i="1"/>
  <c r="U3" i="1"/>
  <c r="V3" i="1" s="1"/>
  <c r="W3" i="1" s="1"/>
  <c r="T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O4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N5" i="1"/>
  <c r="N6" i="1"/>
  <c r="N7" i="1"/>
  <c r="N8" i="1"/>
  <c r="N9" i="1"/>
  <c r="N10" i="1"/>
  <c r="N11" i="1"/>
  <c r="N12" i="1"/>
  <c r="N13" i="1"/>
  <c r="N14" i="1"/>
  <c r="N15" i="1"/>
  <c r="N16" i="1"/>
  <c r="X16" i="1" s="1"/>
  <c r="N17" i="1"/>
  <c r="N18" i="1"/>
  <c r="N19" i="1"/>
  <c r="N4" i="1"/>
  <c r="P3" i="1"/>
  <c r="Q3" i="1" s="1"/>
  <c r="R3" i="1" s="1"/>
  <c r="O3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4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3" i="1"/>
  <c r="K3" i="1" s="1"/>
  <c r="L3" i="1" s="1"/>
  <c r="M3" i="1" s="1"/>
  <c r="E3" i="1"/>
  <c r="F3" i="1" s="1"/>
  <c r="G3" i="1" s="1"/>
  <c r="H3" i="1" s="1"/>
  <c r="I5" i="1"/>
  <c r="I6" i="1"/>
  <c r="I7" i="1"/>
  <c r="I8" i="1"/>
  <c r="I9" i="1"/>
  <c r="I10" i="1"/>
  <c r="I11" i="1"/>
  <c r="I12" i="1"/>
  <c r="X12" i="1" s="1"/>
  <c r="I13" i="1"/>
  <c r="I14" i="1"/>
  <c r="I15" i="1"/>
  <c r="I16" i="1"/>
  <c r="I17" i="1"/>
  <c r="I18" i="1"/>
  <c r="I19" i="1"/>
  <c r="I4" i="1"/>
  <c r="D24" i="1"/>
  <c r="D23" i="1"/>
  <c r="D22" i="1"/>
  <c r="D21" i="1"/>
  <c r="C23" i="1"/>
  <c r="C22" i="1"/>
  <c r="C21" i="1"/>
  <c r="X18" i="1" l="1"/>
  <c r="X14" i="1"/>
  <c r="X6" i="1"/>
  <c r="X15" i="1"/>
  <c r="X9" i="1"/>
  <c r="X5" i="1"/>
  <c r="N22" i="1"/>
  <c r="X13" i="1"/>
  <c r="X19" i="1"/>
  <c r="X11" i="1"/>
  <c r="X17" i="1"/>
  <c r="X8" i="1"/>
  <c r="X4" i="1"/>
  <c r="N24" i="1"/>
  <c r="X10" i="1"/>
  <c r="N23" i="1"/>
  <c r="N21" i="1"/>
</calcChain>
</file>

<file path=xl/sharedStrings.xml><?xml version="1.0" encoding="utf-8"?>
<sst xmlns="http://schemas.openxmlformats.org/spreadsheetml/2006/main" count="46" uniqueCount="45">
  <si>
    <t>Employee Payroll</t>
  </si>
  <si>
    <t>Last Name</t>
  </si>
  <si>
    <t>First Name</t>
  </si>
  <si>
    <t>Hourly Wage</t>
  </si>
  <si>
    <t>House Worked</t>
  </si>
  <si>
    <t>Pay</t>
  </si>
  <si>
    <t>kern</t>
  </si>
  <si>
    <t>Jon</t>
  </si>
  <si>
    <t>Howard</t>
  </si>
  <si>
    <t>Glenda</t>
  </si>
  <si>
    <t>Ron</t>
  </si>
  <si>
    <t>Wend</t>
  </si>
  <si>
    <t>Paul</t>
  </si>
  <si>
    <t>Tom</t>
  </si>
  <si>
    <t>Nancy</t>
  </si>
  <si>
    <t>Kaen</t>
  </si>
  <si>
    <t>denis</t>
  </si>
  <si>
    <t>Sandy</t>
  </si>
  <si>
    <t>Linda</t>
  </si>
  <si>
    <t>Olivia</t>
  </si>
  <si>
    <t>Blessing</t>
  </si>
  <si>
    <t>Bill</t>
  </si>
  <si>
    <t>ten</t>
  </si>
  <si>
    <t>Genesis</t>
  </si>
  <si>
    <t>O'Donald</t>
  </si>
  <si>
    <t>Hernandez</t>
  </si>
  <si>
    <t>Smith</t>
  </si>
  <si>
    <t>Velinda</t>
  </si>
  <si>
    <t>camehan</t>
  </si>
  <si>
    <t>Wester</t>
  </si>
  <si>
    <t>Penfold</t>
  </si>
  <si>
    <t>isli</t>
  </si>
  <si>
    <t>Young</t>
  </si>
  <si>
    <t>Trenton</t>
  </si>
  <si>
    <t>Engleheart</t>
  </si>
  <si>
    <t>Norman</t>
  </si>
  <si>
    <t>Mann</t>
  </si>
  <si>
    <t>Underhill</t>
  </si>
  <si>
    <t>Max</t>
  </si>
  <si>
    <t>Min</t>
  </si>
  <si>
    <t>Average</t>
  </si>
  <si>
    <t>Total</t>
  </si>
  <si>
    <t>overtime hours</t>
  </si>
  <si>
    <t>overtime bonus</t>
  </si>
  <si>
    <t>janv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</si>
</sst>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6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FF3D-B378-413F-B4B8-1AEA0BA3CB72}">
  <sheetPr>
    <pageSetUpPr fitToPage="1"/>
  </sheetPr>
  <dimension ref="A1:AD24"/>
  <sheetViews>
    <sheetView tabSelected="1" topLeftCell="A2" zoomScaleNormal="100" workbookViewId="0">
      <selection activeCell="AD26" sqref="AD26"/>
    </sheetView>
  </sheetViews>
  <sheetFormatPr baseColWidth="10" defaultRowHeight="14.4" x14ac:dyDescent="0.3"/>
  <cols>
    <col min="3" max="3" width="11.109375" bestFit="1" customWidth="1"/>
    <col min="9" max="9" width="12" bestFit="1" customWidth="1"/>
    <col min="19" max="19" width="13.21875" bestFit="1" customWidth="1"/>
    <col min="20" max="23" width="13.21875" customWidth="1"/>
  </cols>
  <sheetData>
    <row r="1" spans="1:30" x14ac:dyDescent="0.3">
      <c r="A1" t="s">
        <v>0</v>
      </c>
    </row>
    <row r="2" spans="1:30" x14ac:dyDescent="0.3">
      <c r="D2" t="s">
        <v>4</v>
      </c>
      <c r="I2" t="s">
        <v>42</v>
      </c>
      <c r="N2" t="s">
        <v>5</v>
      </c>
      <c r="S2" t="s">
        <v>43</v>
      </c>
      <c r="X2" t="s">
        <v>41</v>
      </c>
      <c r="AD2" t="s">
        <v>44</v>
      </c>
    </row>
    <row r="3" spans="1:30" x14ac:dyDescent="0.3">
      <c r="A3" t="s">
        <v>1</v>
      </c>
      <c r="B3" t="s">
        <v>2</v>
      </c>
      <c r="C3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6">
        <v>46023</v>
      </c>
      <c r="J3" s="6">
        <f>I3+7</f>
        <v>46030</v>
      </c>
      <c r="K3" s="6">
        <f t="shared" ref="K3:M3" si="1">J3+7</f>
        <v>46037</v>
      </c>
      <c r="L3" s="6">
        <f t="shared" si="1"/>
        <v>46044</v>
      </c>
      <c r="M3" s="6">
        <f t="shared" si="1"/>
        <v>46051</v>
      </c>
      <c r="N3" s="8">
        <v>46023</v>
      </c>
      <c r="O3" s="8">
        <f>N3+7</f>
        <v>46030</v>
      </c>
      <c r="P3" s="8">
        <f t="shared" ref="P3:R3" si="2">O3+7</f>
        <v>46037</v>
      </c>
      <c r="Q3" s="8">
        <f t="shared" si="2"/>
        <v>46044</v>
      </c>
      <c r="R3" s="8">
        <f t="shared" si="2"/>
        <v>46051</v>
      </c>
      <c r="S3" s="10">
        <v>46023</v>
      </c>
      <c r="T3" s="10">
        <f>S3+7</f>
        <v>46030</v>
      </c>
      <c r="U3" s="10">
        <f t="shared" ref="U3:W3" si="3">T3+7</f>
        <v>46037</v>
      </c>
      <c r="V3" s="10">
        <f t="shared" si="3"/>
        <v>46044</v>
      </c>
      <c r="W3" s="10">
        <f t="shared" si="3"/>
        <v>46051</v>
      </c>
      <c r="X3" s="12">
        <v>46023</v>
      </c>
      <c r="Y3" s="12">
        <f>X3+7</f>
        <v>46030</v>
      </c>
      <c r="Z3" s="12">
        <f t="shared" ref="Z3:AB3" si="4">Y3+7</f>
        <v>46037</v>
      </c>
      <c r="AA3" s="12">
        <f t="shared" si="4"/>
        <v>46044</v>
      </c>
      <c r="AB3" s="12">
        <f t="shared" si="4"/>
        <v>46051</v>
      </c>
    </row>
    <row r="4" spans="1:30" x14ac:dyDescent="0.3">
      <c r="A4" t="s">
        <v>6</v>
      </c>
      <c r="B4" t="s">
        <v>7</v>
      </c>
      <c r="C4" s="2">
        <v>10</v>
      </c>
      <c r="D4" s="5">
        <v>40</v>
      </c>
      <c r="E4" s="5">
        <v>42</v>
      </c>
      <c r="F4" s="5">
        <v>41</v>
      </c>
      <c r="G4" s="5">
        <v>39</v>
      </c>
      <c r="H4" s="5">
        <v>20</v>
      </c>
      <c r="I4" s="7">
        <f>IF(D4&gt;40,D4-40,0)</f>
        <v>0</v>
      </c>
      <c r="J4" s="7">
        <f>IF(E4&gt;40,E4-40,0)</f>
        <v>2</v>
      </c>
      <c r="K4" s="7">
        <f>IF(F4&gt;40,F4-40,0)</f>
        <v>1</v>
      </c>
      <c r="L4" s="7">
        <f>IF(G4&gt;40,G4-40,0)</f>
        <v>0</v>
      </c>
      <c r="M4" s="7">
        <f>IF(H4&gt;40,H4-40,0)</f>
        <v>0</v>
      </c>
      <c r="N4" s="9">
        <f>$C4*D4</f>
        <v>400</v>
      </c>
      <c r="O4" s="9">
        <f>$C4*E4</f>
        <v>420</v>
      </c>
      <c r="P4" s="9">
        <f t="shared" ref="P4:R19" si="5">$C4*F4</f>
        <v>410</v>
      </c>
      <c r="Q4" s="9">
        <f t="shared" si="5"/>
        <v>390</v>
      </c>
      <c r="R4" s="9">
        <f t="shared" si="5"/>
        <v>200</v>
      </c>
      <c r="S4" s="11">
        <f>0.5*$C4*I4</f>
        <v>0</v>
      </c>
      <c r="T4" s="11">
        <f>0.5*$C4*J4</f>
        <v>10</v>
      </c>
      <c r="U4" s="11">
        <f t="shared" ref="U4:W19" si="6">0.5*$C4*K4</f>
        <v>5</v>
      </c>
      <c r="V4" s="11">
        <f t="shared" si="6"/>
        <v>0</v>
      </c>
      <c r="W4" s="11">
        <f t="shared" si="6"/>
        <v>0</v>
      </c>
      <c r="X4" s="13">
        <f>N4+S4</f>
        <v>400</v>
      </c>
      <c r="Y4" s="13">
        <f>O4+T4</f>
        <v>430</v>
      </c>
      <c r="Z4" s="13">
        <f t="shared" ref="Y4:AB19" si="7">P4+U4</f>
        <v>415</v>
      </c>
      <c r="AA4" s="13">
        <f>Q4+V4</f>
        <v>390</v>
      </c>
      <c r="AB4" s="13">
        <f t="shared" si="7"/>
        <v>200</v>
      </c>
      <c r="AD4" s="1">
        <f>SUM(X4:AB4)</f>
        <v>1835</v>
      </c>
    </row>
    <row r="5" spans="1:30" x14ac:dyDescent="0.3">
      <c r="A5" t="s">
        <v>8</v>
      </c>
      <c r="B5" t="s">
        <v>9</v>
      </c>
      <c r="C5" s="2">
        <v>10</v>
      </c>
      <c r="D5" s="5">
        <v>41</v>
      </c>
      <c r="E5" s="5">
        <v>41</v>
      </c>
      <c r="F5" s="5">
        <v>45</v>
      </c>
      <c r="G5" s="5">
        <v>38</v>
      </c>
      <c r="H5" s="5">
        <v>39</v>
      </c>
      <c r="I5" s="7">
        <f>IF(D5&gt;40,D5-40,0)</f>
        <v>1</v>
      </c>
      <c r="J5" s="7">
        <f>IF(E5&gt;40,E5-40,0)</f>
        <v>1</v>
      </c>
      <c r="K5" s="7">
        <f>IF(F5&gt;40,F5-40,0)</f>
        <v>5</v>
      </c>
      <c r="L5" s="7">
        <f>IF(G5&gt;40,G5-40,0)</f>
        <v>0</v>
      </c>
      <c r="M5" s="7">
        <f>IF(H5&gt;40,H5-40,0)</f>
        <v>0</v>
      </c>
      <c r="N5" s="9">
        <f t="shared" ref="N5:O19" si="8">$C5*D5</f>
        <v>410</v>
      </c>
      <c r="O5" s="9">
        <f t="shared" si="8"/>
        <v>410</v>
      </c>
      <c r="P5" s="9">
        <f t="shared" si="5"/>
        <v>450</v>
      </c>
      <c r="Q5" s="9">
        <f t="shared" si="5"/>
        <v>380</v>
      </c>
      <c r="R5" s="9">
        <f t="shared" si="5"/>
        <v>390</v>
      </c>
      <c r="S5" s="11">
        <f t="shared" ref="S5:T19" si="9">0.5*$C5*I5</f>
        <v>5</v>
      </c>
      <c r="T5" s="11">
        <f t="shared" si="9"/>
        <v>5</v>
      </c>
      <c r="U5" s="11">
        <f t="shared" si="6"/>
        <v>25</v>
      </c>
      <c r="V5" s="11">
        <f t="shared" si="6"/>
        <v>0</v>
      </c>
      <c r="W5" s="11">
        <f t="shared" si="6"/>
        <v>0</v>
      </c>
      <c r="X5" s="13">
        <f t="shared" ref="X5:X19" si="10">N5+S5</f>
        <v>415</v>
      </c>
      <c r="Y5" s="13">
        <f t="shared" si="7"/>
        <v>415</v>
      </c>
      <c r="Z5" s="13">
        <f t="shared" si="7"/>
        <v>475</v>
      </c>
      <c r="AA5" s="13">
        <f t="shared" si="7"/>
        <v>380</v>
      </c>
      <c r="AB5" s="13">
        <f t="shared" si="7"/>
        <v>390</v>
      </c>
      <c r="AD5" s="1">
        <f t="shared" ref="AD5:AD19" si="11">SUM(X5:AB5)</f>
        <v>2075</v>
      </c>
    </row>
    <row r="6" spans="1:30" x14ac:dyDescent="0.3">
      <c r="A6" t="s">
        <v>24</v>
      </c>
      <c r="B6" t="s">
        <v>10</v>
      </c>
      <c r="C6" s="2">
        <v>22.1</v>
      </c>
      <c r="D6" s="5">
        <v>39</v>
      </c>
      <c r="E6" s="5">
        <v>29</v>
      </c>
      <c r="F6" s="5">
        <v>33</v>
      </c>
      <c r="G6" s="5">
        <v>37</v>
      </c>
      <c r="H6" s="5">
        <v>38</v>
      </c>
      <c r="I6" s="7">
        <f>IF(D6&gt;40,D6-40,0)</f>
        <v>0</v>
      </c>
      <c r="J6" s="7">
        <f>IF(E6&gt;40,E6-40,0)</f>
        <v>0</v>
      </c>
      <c r="K6" s="7">
        <f>IF(F6&gt;40,F6-40,0)</f>
        <v>0</v>
      </c>
      <c r="L6" s="7">
        <f>IF(G6&gt;40,G6-40,0)</f>
        <v>0</v>
      </c>
      <c r="M6" s="7">
        <f>IF(H6&gt;40,H6-40,0)</f>
        <v>0</v>
      </c>
      <c r="N6" s="9">
        <f t="shared" si="8"/>
        <v>861.90000000000009</v>
      </c>
      <c r="O6" s="9">
        <f t="shared" si="8"/>
        <v>640.90000000000009</v>
      </c>
      <c r="P6" s="9">
        <f t="shared" si="5"/>
        <v>729.30000000000007</v>
      </c>
      <c r="Q6" s="9">
        <f t="shared" si="5"/>
        <v>817.7</v>
      </c>
      <c r="R6" s="9">
        <f t="shared" si="5"/>
        <v>839.80000000000007</v>
      </c>
      <c r="S6" s="11">
        <f t="shared" si="9"/>
        <v>0</v>
      </c>
      <c r="T6" s="11">
        <f t="shared" si="9"/>
        <v>0</v>
      </c>
      <c r="U6" s="11">
        <f t="shared" si="6"/>
        <v>0</v>
      </c>
      <c r="V6" s="11">
        <f t="shared" si="6"/>
        <v>0</v>
      </c>
      <c r="W6" s="11">
        <f t="shared" si="6"/>
        <v>0</v>
      </c>
      <c r="X6" s="13">
        <f t="shared" si="10"/>
        <v>861.90000000000009</v>
      </c>
      <c r="Y6" s="13">
        <f t="shared" si="7"/>
        <v>640.90000000000009</v>
      </c>
      <c r="Z6" s="13">
        <f t="shared" si="7"/>
        <v>729.30000000000007</v>
      </c>
      <c r="AA6" s="13">
        <f t="shared" si="7"/>
        <v>817.7</v>
      </c>
      <c r="AB6" s="13">
        <f t="shared" si="7"/>
        <v>839.80000000000007</v>
      </c>
      <c r="AD6" s="1">
        <f t="shared" si="11"/>
        <v>3889.6000000000004</v>
      </c>
    </row>
    <row r="7" spans="1:30" x14ac:dyDescent="0.3">
      <c r="A7" t="s">
        <v>25</v>
      </c>
      <c r="B7" t="s">
        <v>11</v>
      </c>
      <c r="C7" s="2">
        <v>19.100000000000001</v>
      </c>
      <c r="D7" s="5">
        <v>38</v>
      </c>
      <c r="E7" s="5">
        <v>42</v>
      </c>
      <c r="F7" s="5">
        <v>45</v>
      </c>
      <c r="G7" s="5">
        <v>37</v>
      </c>
      <c r="H7" s="5">
        <v>47</v>
      </c>
      <c r="I7" s="7">
        <f>IF(D7&gt;40,D7-40,0)</f>
        <v>0</v>
      </c>
      <c r="J7" s="7">
        <f>IF(E7&gt;40,E7-40,0)</f>
        <v>2</v>
      </c>
      <c r="K7" s="7">
        <f>IF(F7&gt;40,F7-40,0)</f>
        <v>5</v>
      </c>
      <c r="L7" s="7">
        <f>IF(G7&gt;40,G7-40,0)</f>
        <v>0</v>
      </c>
      <c r="M7" s="7">
        <f>IF(H7&gt;40,H7-40,0)</f>
        <v>7</v>
      </c>
      <c r="N7" s="9">
        <f t="shared" si="8"/>
        <v>725.80000000000007</v>
      </c>
      <c r="O7" s="9">
        <f t="shared" si="8"/>
        <v>802.2</v>
      </c>
      <c r="P7" s="9">
        <f t="shared" si="5"/>
        <v>859.50000000000011</v>
      </c>
      <c r="Q7" s="9">
        <f t="shared" si="5"/>
        <v>706.7</v>
      </c>
      <c r="R7" s="9">
        <f t="shared" si="5"/>
        <v>897.7</v>
      </c>
      <c r="S7" s="11">
        <f t="shared" si="9"/>
        <v>0</v>
      </c>
      <c r="T7" s="11">
        <f t="shared" si="9"/>
        <v>19.100000000000001</v>
      </c>
      <c r="U7" s="11">
        <f t="shared" si="6"/>
        <v>47.75</v>
      </c>
      <c r="V7" s="11">
        <f t="shared" si="6"/>
        <v>0</v>
      </c>
      <c r="W7" s="11">
        <f t="shared" si="6"/>
        <v>66.850000000000009</v>
      </c>
      <c r="X7" s="13">
        <f t="shared" si="10"/>
        <v>725.80000000000007</v>
      </c>
      <c r="Y7" s="13">
        <f t="shared" si="7"/>
        <v>821.30000000000007</v>
      </c>
      <c r="Z7" s="13">
        <f t="shared" si="7"/>
        <v>907.25000000000011</v>
      </c>
      <c r="AA7" s="13">
        <f t="shared" si="7"/>
        <v>706.7</v>
      </c>
      <c r="AB7" s="13">
        <f t="shared" si="7"/>
        <v>964.55000000000007</v>
      </c>
      <c r="AD7" s="1">
        <f t="shared" si="11"/>
        <v>4125.6000000000004</v>
      </c>
    </row>
    <row r="8" spans="1:30" x14ac:dyDescent="0.3">
      <c r="A8" t="s">
        <v>26</v>
      </c>
      <c r="B8" t="s">
        <v>12</v>
      </c>
      <c r="C8" s="2">
        <v>6.9</v>
      </c>
      <c r="D8" s="5">
        <v>42</v>
      </c>
      <c r="E8" s="5">
        <v>40</v>
      </c>
      <c r="F8" s="5">
        <v>44</v>
      </c>
      <c r="G8" s="5">
        <v>41</v>
      </c>
      <c r="H8" s="5">
        <v>30</v>
      </c>
      <c r="I8" s="7">
        <f>IF(D8&gt;40,D8-40,0)</f>
        <v>2</v>
      </c>
      <c r="J8" s="7">
        <f>IF(E8&gt;40,E8-40,0)</f>
        <v>0</v>
      </c>
      <c r="K8" s="7">
        <f>IF(F8&gt;40,F8-40,0)</f>
        <v>4</v>
      </c>
      <c r="L8" s="7">
        <f>IF(G8&gt;40,G8-40,0)</f>
        <v>1</v>
      </c>
      <c r="M8" s="7">
        <f>IF(H8&gt;40,H8-40,0)</f>
        <v>0</v>
      </c>
      <c r="N8" s="9">
        <f t="shared" si="8"/>
        <v>289.8</v>
      </c>
      <c r="O8" s="9">
        <f t="shared" si="8"/>
        <v>276</v>
      </c>
      <c r="P8" s="9">
        <f t="shared" si="5"/>
        <v>303.60000000000002</v>
      </c>
      <c r="Q8" s="9">
        <f t="shared" si="5"/>
        <v>282.90000000000003</v>
      </c>
      <c r="R8" s="9">
        <f t="shared" si="5"/>
        <v>207</v>
      </c>
      <c r="S8" s="11">
        <f t="shared" si="9"/>
        <v>6.9</v>
      </c>
      <c r="T8" s="11">
        <f t="shared" si="9"/>
        <v>0</v>
      </c>
      <c r="U8" s="11">
        <f t="shared" si="6"/>
        <v>13.8</v>
      </c>
      <c r="V8" s="11">
        <f t="shared" si="6"/>
        <v>3.45</v>
      </c>
      <c r="W8" s="11">
        <f t="shared" si="6"/>
        <v>0</v>
      </c>
      <c r="X8" s="13">
        <f t="shared" si="10"/>
        <v>296.7</v>
      </c>
      <c r="Y8" s="13">
        <f t="shared" si="7"/>
        <v>276</v>
      </c>
      <c r="Z8" s="13">
        <f t="shared" si="7"/>
        <v>317.40000000000003</v>
      </c>
      <c r="AA8" s="13">
        <f t="shared" si="7"/>
        <v>286.35000000000002</v>
      </c>
      <c r="AB8" s="13">
        <f t="shared" si="7"/>
        <v>207</v>
      </c>
      <c r="AD8" s="1">
        <f t="shared" si="11"/>
        <v>1383.4500000000003</v>
      </c>
    </row>
    <row r="9" spans="1:30" x14ac:dyDescent="0.3">
      <c r="A9" t="s">
        <v>27</v>
      </c>
      <c r="B9" t="s">
        <v>13</v>
      </c>
      <c r="C9" s="2">
        <v>14.2</v>
      </c>
      <c r="D9" s="5">
        <v>39</v>
      </c>
      <c r="E9" s="5">
        <v>44</v>
      </c>
      <c r="F9" s="5">
        <v>42</v>
      </c>
      <c r="G9" s="5">
        <v>38</v>
      </c>
      <c r="H9" s="5">
        <v>39</v>
      </c>
      <c r="I9" s="7">
        <f>IF(D9&gt;40,D9-40,0)</f>
        <v>0</v>
      </c>
      <c r="J9" s="7">
        <f>IF(E9&gt;40,E9-40,0)</f>
        <v>4</v>
      </c>
      <c r="K9" s="7">
        <f>IF(F9&gt;40,F9-40,0)</f>
        <v>2</v>
      </c>
      <c r="L9" s="7">
        <f>IF(G9&gt;40,G9-40,0)</f>
        <v>0</v>
      </c>
      <c r="M9" s="7">
        <f>IF(H9&gt;40,H9-40,0)</f>
        <v>0</v>
      </c>
      <c r="N9" s="9">
        <f t="shared" si="8"/>
        <v>553.79999999999995</v>
      </c>
      <c r="O9" s="9">
        <f t="shared" si="8"/>
        <v>624.79999999999995</v>
      </c>
      <c r="P9" s="9">
        <f t="shared" si="5"/>
        <v>596.4</v>
      </c>
      <c r="Q9" s="9">
        <f t="shared" si="5"/>
        <v>539.6</v>
      </c>
      <c r="R9" s="9">
        <f t="shared" si="5"/>
        <v>553.79999999999995</v>
      </c>
      <c r="S9" s="11">
        <f t="shared" si="9"/>
        <v>0</v>
      </c>
      <c r="T9" s="11">
        <f t="shared" si="9"/>
        <v>28.4</v>
      </c>
      <c r="U9" s="11">
        <f t="shared" si="6"/>
        <v>14.2</v>
      </c>
      <c r="V9" s="11">
        <f t="shared" si="6"/>
        <v>0</v>
      </c>
      <c r="W9" s="11">
        <f t="shared" si="6"/>
        <v>0</v>
      </c>
      <c r="X9" s="13">
        <f t="shared" si="10"/>
        <v>553.79999999999995</v>
      </c>
      <c r="Y9" s="13">
        <f t="shared" si="7"/>
        <v>653.19999999999993</v>
      </c>
      <c r="Z9" s="13">
        <f t="shared" si="7"/>
        <v>610.6</v>
      </c>
      <c r="AA9" s="13">
        <f t="shared" si="7"/>
        <v>539.6</v>
      </c>
      <c r="AB9" s="13">
        <f t="shared" si="7"/>
        <v>553.79999999999995</v>
      </c>
      <c r="AD9" s="1">
        <f t="shared" si="11"/>
        <v>2911</v>
      </c>
    </row>
    <row r="10" spans="1:30" x14ac:dyDescent="0.3">
      <c r="A10" t="s">
        <v>28</v>
      </c>
      <c r="B10" t="s">
        <v>14</v>
      </c>
      <c r="C10" s="2">
        <v>18</v>
      </c>
      <c r="D10" s="5">
        <v>40</v>
      </c>
      <c r="E10" s="5">
        <v>30</v>
      </c>
      <c r="F10" s="5">
        <v>38</v>
      </c>
      <c r="G10" s="5">
        <v>36</v>
      </c>
      <c r="H10" s="5">
        <v>45</v>
      </c>
      <c r="I10" s="7">
        <f>IF(D10&gt;40,D10-40,0)</f>
        <v>0</v>
      </c>
      <c r="J10" s="7">
        <f>IF(E10&gt;40,E10-40,0)</f>
        <v>0</v>
      </c>
      <c r="K10" s="7">
        <f>IF(F10&gt;40,F10-40,0)</f>
        <v>0</v>
      </c>
      <c r="L10" s="7">
        <f>IF(G10&gt;40,G10-40,0)</f>
        <v>0</v>
      </c>
      <c r="M10" s="7">
        <f>IF(H10&gt;40,H10-40,0)</f>
        <v>5</v>
      </c>
      <c r="N10" s="9">
        <f t="shared" si="8"/>
        <v>720</v>
      </c>
      <c r="O10" s="9">
        <f t="shared" si="8"/>
        <v>540</v>
      </c>
      <c r="P10" s="9">
        <f t="shared" si="5"/>
        <v>684</v>
      </c>
      <c r="Q10" s="9">
        <f t="shared" si="5"/>
        <v>648</v>
      </c>
      <c r="R10" s="9">
        <f t="shared" si="5"/>
        <v>810</v>
      </c>
      <c r="S10" s="11">
        <f t="shared" si="9"/>
        <v>0</v>
      </c>
      <c r="T10" s="11">
        <f t="shared" si="9"/>
        <v>0</v>
      </c>
      <c r="U10" s="11">
        <f t="shared" si="6"/>
        <v>0</v>
      </c>
      <c r="V10" s="11">
        <f t="shared" si="6"/>
        <v>0</v>
      </c>
      <c r="W10" s="11">
        <f t="shared" si="6"/>
        <v>45</v>
      </c>
      <c r="X10" s="13">
        <f t="shared" si="10"/>
        <v>720</v>
      </c>
      <c r="Y10" s="13">
        <f t="shared" si="7"/>
        <v>540</v>
      </c>
      <c r="Z10" s="13">
        <f t="shared" si="7"/>
        <v>684</v>
      </c>
      <c r="AA10" s="13">
        <f t="shared" si="7"/>
        <v>648</v>
      </c>
      <c r="AB10" s="13">
        <f t="shared" si="7"/>
        <v>855</v>
      </c>
      <c r="AD10" s="1">
        <f t="shared" si="11"/>
        <v>3447</v>
      </c>
    </row>
    <row r="11" spans="1:30" x14ac:dyDescent="0.3">
      <c r="A11" t="s">
        <v>29</v>
      </c>
      <c r="B11" t="s">
        <v>15</v>
      </c>
      <c r="C11" s="2">
        <v>17.5</v>
      </c>
      <c r="D11" s="5">
        <v>37</v>
      </c>
      <c r="E11" s="5">
        <v>44</v>
      </c>
      <c r="F11" s="5">
        <v>45</v>
      </c>
      <c r="G11" s="5">
        <v>44</v>
      </c>
      <c r="H11" s="5">
        <v>37</v>
      </c>
      <c r="I11" s="7">
        <f>IF(D11&gt;40,D11-40,0)</f>
        <v>0</v>
      </c>
      <c r="J11" s="7">
        <f>IF(E11&gt;40,E11-40,0)</f>
        <v>4</v>
      </c>
      <c r="K11" s="7">
        <f>IF(F11&gt;40,F11-40,0)</f>
        <v>5</v>
      </c>
      <c r="L11" s="7">
        <f>IF(G11&gt;40,G11-40,0)</f>
        <v>4</v>
      </c>
      <c r="M11" s="7">
        <f>IF(H11&gt;40,H11-40,0)</f>
        <v>0</v>
      </c>
      <c r="N11" s="9">
        <f t="shared" si="8"/>
        <v>647.5</v>
      </c>
      <c r="O11" s="9">
        <f t="shared" si="8"/>
        <v>770</v>
      </c>
      <c r="P11" s="9">
        <f t="shared" si="5"/>
        <v>787.5</v>
      </c>
      <c r="Q11" s="9">
        <f t="shared" si="5"/>
        <v>770</v>
      </c>
      <c r="R11" s="9">
        <f t="shared" si="5"/>
        <v>647.5</v>
      </c>
      <c r="S11" s="11">
        <f t="shared" si="9"/>
        <v>0</v>
      </c>
      <c r="T11" s="11">
        <f t="shared" si="9"/>
        <v>35</v>
      </c>
      <c r="U11" s="11">
        <f t="shared" si="6"/>
        <v>43.75</v>
      </c>
      <c r="V11" s="11">
        <f t="shared" si="6"/>
        <v>35</v>
      </c>
      <c r="W11" s="11">
        <f t="shared" si="6"/>
        <v>0</v>
      </c>
      <c r="X11" s="13">
        <f t="shared" si="10"/>
        <v>647.5</v>
      </c>
      <c r="Y11" s="13">
        <f t="shared" si="7"/>
        <v>805</v>
      </c>
      <c r="Z11" s="13">
        <f t="shared" si="7"/>
        <v>831.25</v>
      </c>
      <c r="AA11" s="13">
        <f t="shared" si="7"/>
        <v>805</v>
      </c>
      <c r="AB11" s="13">
        <f t="shared" si="7"/>
        <v>647.5</v>
      </c>
      <c r="AD11" s="1">
        <f t="shared" si="11"/>
        <v>3736.25</v>
      </c>
    </row>
    <row r="12" spans="1:30" x14ac:dyDescent="0.3">
      <c r="A12" t="s">
        <v>30</v>
      </c>
      <c r="B12" t="s">
        <v>16</v>
      </c>
      <c r="C12" s="2">
        <v>14.7</v>
      </c>
      <c r="D12" s="5">
        <v>38</v>
      </c>
      <c r="E12" s="5">
        <v>33</v>
      </c>
      <c r="F12" s="5">
        <v>35</v>
      </c>
      <c r="G12" s="5">
        <v>38</v>
      </c>
      <c r="H12" s="5">
        <v>46</v>
      </c>
      <c r="I12" s="7">
        <f>IF(D12&gt;40,D12-40,0)</f>
        <v>0</v>
      </c>
      <c r="J12" s="7">
        <f>IF(E12&gt;40,E12-40,0)</f>
        <v>0</v>
      </c>
      <c r="K12" s="7">
        <f>IF(F12&gt;40,F12-40,0)</f>
        <v>0</v>
      </c>
      <c r="L12" s="7">
        <f>IF(G12&gt;40,G12-40,0)</f>
        <v>0</v>
      </c>
      <c r="M12" s="7">
        <f>IF(H12&gt;40,H12-40,0)</f>
        <v>6</v>
      </c>
      <c r="N12" s="9">
        <f t="shared" si="8"/>
        <v>558.6</v>
      </c>
      <c r="O12" s="9">
        <f t="shared" si="8"/>
        <v>485.09999999999997</v>
      </c>
      <c r="P12" s="9">
        <f t="shared" si="5"/>
        <v>514.5</v>
      </c>
      <c r="Q12" s="9">
        <f t="shared" si="5"/>
        <v>558.6</v>
      </c>
      <c r="R12" s="9">
        <f t="shared" si="5"/>
        <v>676.19999999999993</v>
      </c>
      <c r="S12" s="11">
        <f t="shared" si="9"/>
        <v>0</v>
      </c>
      <c r="T12" s="11">
        <f t="shared" si="9"/>
        <v>0</v>
      </c>
      <c r="U12" s="11">
        <f t="shared" si="6"/>
        <v>0</v>
      </c>
      <c r="V12" s="11">
        <f t="shared" si="6"/>
        <v>0</v>
      </c>
      <c r="W12" s="11">
        <f t="shared" si="6"/>
        <v>44.099999999999994</v>
      </c>
      <c r="X12" s="13">
        <f t="shared" si="10"/>
        <v>558.6</v>
      </c>
      <c r="Y12" s="13">
        <f t="shared" si="7"/>
        <v>485.09999999999997</v>
      </c>
      <c r="Z12" s="13">
        <f t="shared" si="7"/>
        <v>514.5</v>
      </c>
      <c r="AA12" s="13">
        <f t="shared" si="7"/>
        <v>558.6</v>
      </c>
      <c r="AB12" s="13">
        <f t="shared" si="7"/>
        <v>720.3</v>
      </c>
      <c r="AD12" s="1">
        <f t="shared" si="11"/>
        <v>2837.1000000000004</v>
      </c>
    </row>
    <row r="13" spans="1:30" x14ac:dyDescent="0.3">
      <c r="A13" t="s">
        <v>31</v>
      </c>
      <c r="B13" t="s">
        <v>17</v>
      </c>
      <c r="C13" s="2">
        <v>13.9</v>
      </c>
      <c r="D13" s="5">
        <v>39</v>
      </c>
      <c r="E13" s="5">
        <v>38</v>
      </c>
      <c r="F13" s="5">
        <v>42</v>
      </c>
      <c r="G13" s="5">
        <v>41</v>
      </c>
      <c r="H13" s="5">
        <v>42</v>
      </c>
      <c r="I13" s="7">
        <f>IF(D13&gt;40,D13-40,0)</f>
        <v>0</v>
      </c>
      <c r="J13" s="7">
        <f>IF(E13&gt;40,E13-40,0)</f>
        <v>0</v>
      </c>
      <c r="K13" s="7">
        <f>IF(F13&gt;40,F13-40,0)</f>
        <v>2</v>
      </c>
      <c r="L13" s="7">
        <f>IF(G13&gt;40,G13-40,0)</f>
        <v>1</v>
      </c>
      <c r="M13" s="7">
        <f>IF(H13&gt;40,H13-40,0)</f>
        <v>2</v>
      </c>
      <c r="N13" s="9">
        <f t="shared" si="8"/>
        <v>542.1</v>
      </c>
      <c r="O13" s="9">
        <f t="shared" si="8"/>
        <v>528.20000000000005</v>
      </c>
      <c r="P13" s="9">
        <f t="shared" si="5"/>
        <v>583.80000000000007</v>
      </c>
      <c r="Q13" s="9">
        <f t="shared" si="5"/>
        <v>569.9</v>
      </c>
      <c r="R13" s="9">
        <f t="shared" si="5"/>
        <v>583.80000000000007</v>
      </c>
      <c r="S13" s="11">
        <f t="shared" si="9"/>
        <v>0</v>
      </c>
      <c r="T13" s="11">
        <f t="shared" si="9"/>
        <v>0</v>
      </c>
      <c r="U13" s="11">
        <f t="shared" si="6"/>
        <v>13.9</v>
      </c>
      <c r="V13" s="11">
        <f t="shared" si="6"/>
        <v>6.95</v>
      </c>
      <c r="W13" s="11">
        <f t="shared" si="6"/>
        <v>13.9</v>
      </c>
      <c r="X13" s="13">
        <f t="shared" si="10"/>
        <v>542.1</v>
      </c>
      <c r="Y13" s="13">
        <f t="shared" si="7"/>
        <v>528.20000000000005</v>
      </c>
      <c r="Z13" s="13">
        <f t="shared" si="7"/>
        <v>597.70000000000005</v>
      </c>
      <c r="AA13" s="13">
        <f t="shared" si="7"/>
        <v>576.85</v>
      </c>
      <c r="AB13" s="13">
        <f t="shared" si="7"/>
        <v>597.70000000000005</v>
      </c>
      <c r="AD13" s="1">
        <f t="shared" si="11"/>
        <v>2842.55</v>
      </c>
    </row>
    <row r="14" spans="1:30" x14ac:dyDescent="0.3">
      <c r="A14" t="s">
        <v>32</v>
      </c>
      <c r="B14" t="s">
        <v>18</v>
      </c>
      <c r="C14" s="2">
        <v>11.2</v>
      </c>
      <c r="D14" s="5">
        <v>40</v>
      </c>
      <c r="E14" s="5">
        <v>38</v>
      </c>
      <c r="F14" s="5">
        <v>39</v>
      </c>
      <c r="G14" s="5">
        <v>41</v>
      </c>
      <c r="H14" s="5">
        <v>36</v>
      </c>
      <c r="I14" s="7">
        <f>IF(D14&gt;40,D14-40,0)</f>
        <v>0</v>
      </c>
      <c r="J14" s="7">
        <f>IF(E14&gt;40,E14-40,0)</f>
        <v>0</v>
      </c>
      <c r="K14" s="7">
        <f>IF(F14&gt;40,F14-40,0)</f>
        <v>0</v>
      </c>
      <c r="L14" s="7">
        <f>IF(G14&gt;40,G14-40,0)</f>
        <v>1</v>
      </c>
      <c r="M14" s="7">
        <f>IF(H14&gt;40,H14-40,0)</f>
        <v>0</v>
      </c>
      <c r="N14" s="9">
        <f t="shared" si="8"/>
        <v>448</v>
      </c>
      <c r="O14" s="9">
        <f t="shared" si="8"/>
        <v>425.59999999999997</v>
      </c>
      <c r="P14" s="9">
        <f t="shared" si="5"/>
        <v>436.79999999999995</v>
      </c>
      <c r="Q14" s="9">
        <f t="shared" si="5"/>
        <v>459.2</v>
      </c>
      <c r="R14" s="9">
        <f t="shared" si="5"/>
        <v>403.2</v>
      </c>
      <c r="S14" s="11">
        <f t="shared" si="9"/>
        <v>0</v>
      </c>
      <c r="T14" s="11">
        <f t="shared" si="9"/>
        <v>0</v>
      </c>
      <c r="U14" s="11">
        <f t="shared" si="6"/>
        <v>0</v>
      </c>
      <c r="V14" s="11">
        <f t="shared" si="6"/>
        <v>5.6</v>
      </c>
      <c r="W14" s="11">
        <f t="shared" si="6"/>
        <v>0</v>
      </c>
      <c r="X14" s="13">
        <f t="shared" si="10"/>
        <v>448</v>
      </c>
      <c r="Y14" s="13">
        <f t="shared" si="7"/>
        <v>425.59999999999997</v>
      </c>
      <c r="Z14" s="13">
        <f t="shared" si="7"/>
        <v>436.79999999999995</v>
      </c>
      <c r="AA14" s="13">
        <f t="shared" si="7"/>
        <v>464.8</v>
      </c>
      <c r="AB14" s="13">
        <f t="shared" si="7"/>
        <v>403.2</v>
      </c>
      <c r="AD14" s="1">
        <f t="shared" si="11"/>
        <v>2178.3999999999996</v>
      </c>
    </row>
    <row r="15" spans="1:30" x14ac:dyDescent="0.3">
      <c r="A15" t="s">
        <v>33</v>
      </c>
      <c r="B15" t="s">
        <v>19</v>
      </c>
      <c r="C15" s="2">
        <v>10.1</v>
      </c>
      <c r="D15" s="5">
        <v>41</v>
      </c>
      <c r="E15" s="5">
        <v>41</v>
      </c>
      <c r="F15" s="5">
        <v>39</v>
      </c>
      <c r="G15" s="5">
        <v>36</v>
      </c>
      <c r="H15" s="5">
        <v>40</v>
      </c>
      <c r="I15" s="7">
        <f>IF(D15&gt;40,D15-40,0)</f>
        <v>1</v>
      </c>
      <c r="J15" s="7">
        <f>IF(E15&gt;40,E15-40,0)</f>
        <v>1</v>
      </c>
      <c r="K15" s="7">
        <f>IF(F15&gt;40,F15-40,0)</f>
        <v>0</v>
      </c>
      <c r="L15" s="7">
        <f>IF(G15&gt;40,G15-40,0)</f>
        <v>0</v>
      </c>
      <c r="M15" s="7">
        <f>IF(H15&gt;40,H15-40,0)</f>
        <v>0</v>
      </c>
      <c r="N15" s="9">
        <f t="shared" si="8"/>
        <v>414.09999999999997</v>
      </c>
      <c r="O15" s="9">
        <f t="shared" si="8"/>
        <v>414.09999999999997</v>
      </c>
      <c r="P15" s="9">
        <f t="shared" si="5"/>
        <v>393.9</v>
      </c>
      <c r="Q15" s="9">
        <f t="shared" si="5"/>
        <v>363.59999999999997</v>
      </c>
      <c r="R15" s="9">
        <f t="shared" si="5"/>
        <v>404</v>
      </c>
      <c r="S15" s="11">
        <f t="shared" si="9"/>
        <v>5.05</v>
      </c>
      <c r="T15" s="11">
        <f t="shared" si="9"/>
        <v>5.05</v>
      </c>
      <c r="U15" s="11">
        <f t="shared" si="6"/>
        <v>0</v>
      </c>
      <c r="V15" s="11">
        <f t="shared" si="6"/>
        <v>0</v>
      </c>
      <c r="W15" s="11">
        <f t="shared" si="6"/>
        <v>0</v>
      </c>
      <c r="X15" s="13">
        <f t="shared" si="10"/>
        <v>419.15</v>
      </c>
      <c r="Y15" s="13">
        <f t="shared" si="7"/>
        <v>419.15</v>
      </c>
      <c r="Z15" s="13">
        <f t="shared" si="7"/>
        <v>393.9</v>
      </c>
      <c r="AA15" s="13">
        <f t="shared" si="7"/>
        <v>363.59999999999997</v>
      </c>
      <c r="AB15" s="13">
        <f t="shared" si="7"/>
        <v>404</v>
      </c>
      <c r="AD15" s="1">
        <f t="shared" si="11"/>
        <v>1999.7999999999997</v>
      </c>
    </row>
    <row r="16" spans="1:30" x14ac:dyDescent="0.3">
      <c r="A16" t="s">
        <v>34</v>
      </c>
      <c r="B16" t="s">
        <v>20</v>
      </c>
      <c r="C16" s="2">
        <v>9</v>
      </c>
      <c r="D16" s="5">
        <v>43</v>
      </c>
      <c r="E16" s="5">
        <v>45</v>
      </c>
      <c r="F16" s="5">
        <v>48</v>
      </c>
      <c r="G16" s="5">
        <v>30</v>
      </c>
      <c r="H16" s="5">
        <v>39</v>
      </c>
      <c r="I16" s="7">
        <f>IF(D16&gt;40,D16-40,0)</f>
        <v>3</v>
      </c>
      <c r="J16" s="7">
        <f>IF(E16&gt;40,E16-40,0)</f>
        <v>5</v>
      </c>
      <c r="K16" s="7">
        <f>IF(F16&gt;40,F16-40,0)</f>
        <v>8</v>
      </c>
      <c r="L16" s="7">
        <f>IF(G16&gt;40,G16-40,0)</f>
        <v>0</v>
      </c>
      <c r="M16" s="7">
        <f>IF(H16&gt;40,H16-40,0)</f>
        <v>0</v>
      </c>
      <c r="N16" s="9">
        <f t="shared" si="8"/>
        <v>387</v>
      </c>
      <c r="O16" s="9">
        <f t="shared" si="8"/>
        <v>405</v>
      </c>
      <c r="P16" s="9">
        <f t="shared" si="5"/>
        <v>432</v>
      </c>
      <c r="Q16" s="9">
        <f t="shared" si="5"/>
        <v>270</v>
      </c>
      <c r="R16" s="9">
        <f t="shared" si="5"/>
        <v>351</v>
      </c>
      <c r="S16" s="11">
        <f t="shared" si="9"/>
        <v>13.5</v>
      </c>
      <c r="T16" s="11">
        <f t="shared" si="9"/>
        <v>22.5</v>
      </c>
      <c r="U16" s="11">
        <f t="shared" si="6"/>
        <v>36</v>
      </c>
      <c r="V16" s="11">
        <f t="shared" si="6"/>
        <v>0</v>
      </c>
      <c r="W16" s="11">
        <f t="shared" si="6"/>
        <v>0</v>
      </c>
      <c r="X16" s="13">
        <f t="shared" si="10"/>
        <v>400.5</v>
      </c>
      <c r="Y16" s="13">
        <f t="shared" si="7"/>
        <v>427.5</v>
      </c>
      <c r="Z16" s="13">
        <f t="shared" si="7"/>
        <v>468</v>
      </c>
      <c r="AA16" s="13">
        <f t="shared" si="7"/>
        <v>270</v>
      </c>
      <c r="AB16" s="13">
        <f t="shared" si="7"/>
        <v>351</v>
      </c>
      <c r="AD16" s="1">
        <f t="shared" si="11"/>
        <v>1917</v>
      </c>
    </row>
    <row r="17" spans="1:30" x14ac:dyDescent="0.3">
      <c r="A17" t="s">
        <v>35</v>
      </c>
      <c r="B17" t="s">
        <v>21</v>
      </c>
      <c r="C17" s="2">
        <v>8.44</v>
      </c>
      <c r="D17" s="5">
        <v>39</v>
      </c>
      <c r="E17" s="5">
        <v>41</v>
      </c>
      <c r="F17" s="5">
        <v>40</v>
      </c>
      <c r="G17" s="5">
        <v>45</v>
      </c>
      <c r="H17" s="5">
        <v>37</v>
      </c>
      <c r="I17" s="7">
        <f>IF(D17&gt;40,D17-40,0)</f>
        <v>0</v>
      </c>
      <c r="J17" s="7">
        <f>IF(E17&gt;40,E17-40,0)</f>
        <v>1</v>
      </c>
      <c r="K17" s="7">
        <f>IF(F17&gt;40,F17-40,0)</f>
        <v>0</v>
      </c>
      <c r="L17" s="7">
        <f>IF(G17&gt;40,G17-40,0)</f>
        <v>5</v>
      </c>
      <c r="M17" s="7">
        <f>IF(H17&gt;40,H17-40,0)</f>
        <v>0</v>
      </c>
      <c r="N17" s="9">
        <f t="shared" si="8"/>
        <v>329.15999999999997</v>
      </c>
      <c r="O17" s="9">
        <f t="shared" si="8"/>
        <v>346.03999999999996</v>
      </c>
      <c r="P17" s="9">
        <f t="shared" si="5"/>
        <v>337.59999999999997</v>
      </c>
      <c r="Q17" s="9">
        <f t="shared" si="5"/>
        <v>379.79999999999995</v>
      </c>
      <c r="R17" s="9">
        <f t="shared" si="5"/>
        <v>312.27999999999997</v>
      </c>
      <c r="S17" s="11">
        <f t="shared" si="9"/>
        <v>0</v>
      </c>
      <c r="T17" s="11">
        <f t="shared" si="9"/>
        <v>4.22</v>
      </c>
      <c r="U17" s="11">
        <f t="shared" si="6"/>
        <v>0</v>
      </c>
      <c r="V17" s="11">
        <f t="shared" si="6"/>
        <v>21.099999999999998</v>
      </c>
      <c r="W17" s="11">
        <f t="shared" si="6"/>
        <v>0</v>
      </c>
      <c r="X17" s="13">
        <f t="shared" si="10"/>
        <v>329.15999999999997</v>
      </c>
      <c r="Y17" s="13">
        <f t="shared" si="7"/>
        <v>350.26</v>
      </c>
      <c r="Z17" s="13">
        <f t="shared" si="7"/>
        <v>337.59999999999997</v>
      </c>
      <c r="AA17" s="13">
        <f t="shared" si="7"/>
        <v>400.9</v>
      </c>
      <c r="AB17" s="13">
        <f t="shared" si="7"/>
        <v>312.27999999999997</v>
      </c>
      <c r="AD17" s="1">
        <f t="shared" si="11"/>
        <v>1730.2</v>
      </c>
    </row>
    <row r="18" spans="1:30" x14ac:dyDescent="0.3">
      <c r="A18" t="s">
        <v>36</v>
      </c>
      <c r="B18" t="s">
        <v>22</v>
      </c>
      <c r="C18" s="2">
        <v>14.2</v>
      </c>
      <c r="D18" s="5">
        <v>40</v>
      </c>
      <c r="E18" s="5">
        <v>43</v>
      </c>
      <c r="F18" s="5">
        <v>39</v>
      </c>
      <c r="G18" s="5">
        <v>38</v>
      </c>
      <c r="H18" s="5">
        <v>37</v>
      </c>
      <c r="I18" s="7">
        <f>IF(D18&gt;40,D18-40,0)</f>
        <v>0</v>
      </c>
      <c r="J18" s="7">
        <f>IF(E18&gt;40,E18-40,0)</f>
        <v>3</v>
      </c>
      <c r="K18" s="7">
        <f>IF(F18&gt;40,F18-40,0)</f>
        <v>0</v>
      </c>
      <c r="L18" s="7">
        <f>IF(G18&gt;40,G18-40,0)</f>
        <v>0</v>
      </c>
      <c r="M18" s="7">
        <f>IF(H18&gt;40,H18-40,0)</f>
        <v>0</v>
      </c>
      <c r="N18" s="9">
        <f t="shared" si="8"/>
        <v>568</v>
      </c>
      <c r="O18" s="9">
        <f t="shared" si="8"/>
        <v>610.6</v>
      </c>
      <c r="P18" s="9">
        <f t="shared" si="5"/>
        <v>553.79999999999995</v>
      </c>
      <c r="Q18" s="9">
        <f t="shared" si="5"/>
        <v>539.6</v>
      </c>
      <c r="R18" s="9">
        <f t="shared" si="5"/>
        <v>525.4</v>
      </c>
      <c r="S18" s="11">
        <f t="shared" si="9"/>
        <v>0</v>
      </c>
      <c r="T18" s="11">
        <f t="shared" si="9"/>
        <v>21.299999999999997</v>
      </c>
      <c r="U18" s="11">
        <f t="shared" si="6"/>
        <v>0</v>
      </c>
      <c r="V18" s="11">
        <f t="shared" si="6"/>
        <v>0</v>
      </c>
      <c r="W18" s="11">
        <f t="shared" si="6"/>
        <v>0</v>
      </c>
      <c r="X18" s="13">
        <f t="shared" si="10"/>
        <v>568</v>
      </c>
      <c r="Y18" s="13">
        <f t="shared" si="7"/>
        <v>631.9</v>
      </c>
      <c r="Z18" s="13">
        <f t="shared" si="7"/>
        <v>553.79999999999995</v>
      </c>
      <c r="AA18" s="13">
        <f t="shared" si="7"/>
        <v>539.6</v>
      </c>
      <c r="AB18" s="13">
        <f t="shared" si="7"/>
        <v>525.4</v>
      </c>
      <c r="AD18" s="1">
        <f t="shared" si="11"/>
        <v>2818.7000000000003</v>
      </c>
    </row>
    <row r="19" spans="1:30" x14ac:dyDescent="0.3">
      <c r="A19" t="s">
        <v>37</v>
      </c>
      <c r="B19" t="s">
        <v>23</v>
      </c>
      <c r="C19" s="2">
        <v>45</v>
      </c>
      <c r="D19" s="5">
        <v>40</v>
      </c>
      <c r="E19" s="5">
        <v>40</v>
      </c>
      <c r="F19" s="5">
        <v>38</v>
      </c>
      <c r="G19" s="5">
        <v>41</v>
      </c>
      <c r="H19" s="5">
        <v>40</v>
      </c>
      <c r="I19" s="7">
        <f>IF(D19&gt;40,D19-40,0)</f>
        <v>0</v>
      </c>
      <c r="J19" s="7">
        <f>IF(E19&gt;40,E19-40,0)</f>
        <v>0</v>
      </c>
      <c r="K19" s="7">
        <f>IF(F19&gt;40,F19-40,0)</f>
        <v>0</v>
      </c>
      <c r="L19" s="7">
        <f>IF(G19&gt;40,G19-40,0)</f>
        <v>1</v>
      </c>
      <c r="M19" s="7">
        <f>IF(H19&gt;40,H19-40,0)</f>
        <v>0</v>
      </c>
      <c r="N19" s="9">
        <f t="shared" si="8"/>
        <v>1800</v>
      </c>
      <c r="O19" s="9">
        <f t="shared" si="8"/>
        <v>1800</v>
      </c>
      <c r="P19" s="9">
        <f t="shared" si="5"/>
        <v>1710</v>
      </c>
      <c r="Q19" s="9">
        <f t="shared" si="5"/>
        <v>1845</v>
      </c>
      <c r="R19" s="9">
        <f t="shared" si="5"/>
        <v>1800</v>
      </c>
      <c r="S19" s="11">
        <f t="shared" si="9"/>
        <v>0</v>
      </c>
      <c r="T19" s="11">
        <f t="shared" si="9"/>
        <v>0</v>
      </c>
      <c r="U19" s="11">
        <f t="shared" si="6"/>
        <v>0</v>
      </c>
      <c r="V19" s="11">
        <f t="shared" si="6"/>
        <v>22.5</v>
      </c>
      <c r="W19" s="11">
        <f t="shared" si="6"/>
        <v>0</v>
      </c>
      <c r="X19" s="13">
        <f t="shared" si="10"/>
        <v>1800</v>
      </c>
      <c r="Y19" s="13">
        <f t="shared" si="7"/>
        <v>1800</v>
      </c>
      <c r="Z19" s="13">
        <f t="shared" si="7"/>
        <v>1710</v>
      </c>
      <c r="AA19" s="13">
        <f t="shared" si="7"/>
        <v>1867.5</v>
      </c>
      <c r="AB19" s="13">
        <f t="shared" si="7"/>
        <v>1800</v>
      </c>
      <c r="AD19" s="1">
        <f t="shared" si="11"/>
        <v>8977.5</v>
      </c>
    </row>
    <row r="21" spans="1:30" x14ac:dyDescent="0.3">
      <c r="A21" t="s">
        <v>38</v>
      </c>
      <c r="C21" s="1">
        <f>MAX(C4:C19)</f>
        <v>45</v>
      </c>
      <c r="D21" s="3">
        <f>MAX(D4:D19)</f>
        <v>43</v>
      </c>
      <c r="E21" s="3"/>
      <c r="F21" s="3"/>
      <c r="G21" s="3"/>
      <c r="H21" s="3"/>
      <c r="I21" s="3"/>
      <c r="J21" s="3"/>
      <c r="K21" s="3"/>
      <c r="L21" s="3"/>
      <c r="N21" s="2">
        <f>MAX(N4:N19)</f>
        <v>1800</v>
      </c>
      <c r="O21" s="2">
        <f t="shared" ref="O21:AB21" si="12">MAX(O4:O19)</f>
        <v>1800</v>
      </c>
      <c r="P21" s="2">
        <f t="shared" si="12"/>
        <v>1710</v>
      </c>
      <c r="Q21" s="2">
        <f t="shared" si="12"/>
        <v>1845</v>
      </c>
      <c r="R21" s="2">
        <f t="shared" si="12"/>
        <v>1800</v>
      </c>
      <c r="S21" s="2">
        <f t="shared" si="12"/>
        <v>13.5</v>
      </c>
      <c r="T21" s="2">
        <f t="shared" si="12"/>
        <v>35</v>
      </c>
      <c r="U21" s="2">
        <f t="shared" si="12"/>
        <v>47.75</v>
      </c>
      <c r="V21" s="2">
        <f t="shared" si="12"/>
        <v>35</v>
      </c>
      <c r="W21" s="2">
        <f t="shared" si="12"/>
        <v>66.850000000000009</v>
      </c>
      <c r="X21" s="2">
        <f t="shared" si="12"/>
        <v>1800</v>
      </c>
      <c r="Y21" s="2">
        <f t="shared" si="12"/>
        <v>1800</v>
      </c>
      <c r="Z21" s="2">
        <f t="shared" si="12"/>
        <v>1710</v>
      </c>
      <c r="AA21" s="2">
        <f t="shared" si="12"/>
        <v>1867.5</v>
      </c>
      <c r="AB21" s="2">
        <f t="shared" si="12"/>
        <v>1800</v>
      </c>
      <c r="AD21" s="2">
        <f t="shared" ref="AD21" si="13">MAX(AD4:AD19)</f>
        <v>8977.5</v>
      </c>
    </row>
    <row r="22" spans="1:30" x14ac:dyDescent="0.3">
      <c r="A22" t="s">
        <v>39</v>
      </c>
      <c r="C22" s="1">
        <f>MIN(C4:C19)</f>
        <v>6.9</v>
      </c>
      <c r="D22" s="3">
        <f>MIN(D4:D19)</f>
        <v>37</v>
      </c>
      <c r="E22" s="3"/>
      <c r="F22" s="3"/>
      <c r="G22" s="3"/>
      <c r="H22" s="3"/>
      <c r="I22" s="3"/>
      <c r="J22" s="3"/>
      <c r="K22" s="3"/>
      <c r="L22" s="3"/>
      <c r="N22" s="2">
        <f>MIN(N4:N19)</f>
        <v>289.8</v>
      </c>
      <c r="O22" s="2">
        <f t="shared" ref="O22:AB22" si="14">MIN(O4:O19)</f>
        <v>276</v>
      </c>
      <c r="P22" s="2">
        <f t="shared" si="14"/>
        <v>303.60000000000002</v>
      </c>
      <c r="Q22" s="2">
        <f t="shared" si="14"/>
        <v>270</v>
      </c>
      <c r="R22" s="2">
        <f t="shared" si="14"/>
        <v>200</v>
      </c>
      <c r="S22" s="2">
        <f t="shared" si="14"/>
        <v>0</v>
      </c>
      <c r="T22" s="2">
        <f t="shared" si="14"/>
        <v>0</v>
      </c>
      <c r="U22" s="2">
        <f t="shared" si="14"/>
        <v>0</v>
      </c>
      <c r="V22" s="2">
        <f t="shared" si="14"/>
        <v>0</v>
      </c>
      <c r="W22" s="2">
        <f t="shared" si="14"/>
        <v>0</v>
      </c>
      <c r="X22" s="2">
        <f t="shared" si="14"/>
        <v>296.7</v>
      </c>
      <c r="Y22" s="2">
        <f t="shared" si="14"/>
        <v>276</v>
      </c>
      <c r="Z22" s="2">
        <f t="shared" si="14"/>
        <v>317.40000000000003</v>
      </c>
      <c r="AA22" s="2">
        <f t="shared" si="14"/>
        <v>270</v>
      </c>
      <c r="AB22" s="2">
        <f t="shared" si="14"/>
        <v>200</v>
      </c>
      <c r="AD22" s="2">
        <f t="shared" ref="AD22" si="15">MIN(AD4:AD19)</f>
        <v>1383.4500000000003</v>
      </c>
    </row>
    <row r="23" spans="1:30" x14ac:dyDescent="0.3">
      <c r="A23" t="s">
        <v>40</v>
      </c>
      <c r="C23" s="1">
        <f>AVERAGEA(C4:C19)</f>
        <v>15.271249999999998</v>
      </c>
      <c r="D23" s="3">
        <f>AVERAGEA(D4:D19)</f>
        <v>39.75</v>
      </c>
      <c r="E23" s="3"/>
      <c r="F23" s="3"/>
      <c r="G23" s="3"/>
      <c r="H23" s="3"/>
      <c r="I23" s="3"/>
      <c r="J23" s="3"/>
      <c r="K23" s="3"/>
      <c r="L23" s="3"/>
      <c r="N23" s="1">
        <f>AVERAGEA(N4:N19)</f>
        <v>603.48500000000013</v>
      </c>
      <c r="O23" s="1">
        <f t="shared" ref="O23:AB23" si="16">AVERAGEA(O4:O19)</f>
        <v>593.65875000000005</v>
      </c>
      <c r="P23" s="1">
        <f t="shared" si="16"/>
        <v>611.41875000000005</v>
      </c>
      <c r="Q23" s="1">
        <f t="shared" si="16"/>
        <v>595.03750000000002</v>
      </c>
      <c r="R23" s="1">
        <f t="shared" si="16"/>
        <v>600.10500000000002</v>
      </c>
      <c r="S23" s="1">
        <f t="shared" si="16"/>
        <v>1.903125</v>
      </c>
      <c r="T23" s="1">
        <f t="shared" si="16"/>
        <v>9.4106249999999996</v>
      </c>
      <c r="U23" s="1">
        <f t="shared" si="16"/>
        <v>12.4625</v>
      </c>
      <c r="V23" s="1">
        <f t="shared" si="16"/>
        <v>5.9125000000000005</v>
      </c>
      <c r="W23" s="1">
        <f t="shared" si="16"/>
        <v>10.615625</v>
      </c>
      <c r="X23" s="1">
        <f t="shared" si="16"/>
        <v>605.38812499999995</v>
      </c>
      <c r="Y23" s="1">
        <f t="shared" si="16"/>
        <v>603.06937500000004</v>
      </c>
      <c r="Z23" s="1">
        <f t="shared" si="16"/>
        <v>623.88125000000002</v>
      </c>
      <c r="AA23" s="1">
        <f t="shared" si="16"/>
        <v>600.95000000000005</v>
      </c>
      <c r="AB23" s="1">
        <f t="shared" si="16"/>
        <v>610.72062499999993</v>
      </c>
      <c r="AD23" s="1">
        <f t="shared" ref="AD23" si="17">AVERAGEA(AD4:AD19)</f>
        <v>3044.0093749999996</v>
      </c>
    </row>
    <row r="24" spans="1:30" x14ac:dyDescent="0.3">
      <c r="A24" t="s">
        <v>41</v>
      </c>
      <c r="D24">
        <f>SUM(D4:D19)</f>
        <v>636</v>
      </c>
      <c r="N24" s="2">
        <f>SUM(N4:N19)</f>
        <v>9655.760000000002</v>
      </c>
      <c r="O24" s="2">
        <f t="shared" ref="O24:AB24" si="18">SUM(O4:O19)</f>
        <v>9498.5400000000009</v>
      </c>
      <c r="P24" s="2">
        <f t="shared" si="18"/>
        <v>9782.7000000000007</v>
      </c>
      <c r="Q24" s="2">
        <f t="shared" si="18"/>
        <v>9520.6</v>
      </c>
      <c r="R24" s="2">
        <f t="shared" si="18"/>
        <v>9601.68</v>
      </c>
      <c r="S24" s="2">
        <f t="shared" si="18"/>
        <v>30.45</v>
      </c>
      <c r="T24" s="2">
        <f t="shared" si="18"/>
        <v>150.57</v>
      </c>
      <c r="U24" s="2">
        <f t="shared" si="18"/>
        <v>199.4</v>
      </c>
      <c r="V24" s="2">
        <f t="shared" si="18"/>
        <v>94.600000000000009</v>
      </c>
      <c r="W24" s="2">
        <f t="shared" si="18"/>
        <v>169.85</v>
      </c>
      <c r="X24" s="2">
        <f t="shared" si="18"/>
        <v>9686.2099999999991</v>
      </c>
      <c r="Y24" s="2">
        <f t="shared" si="18"/>
        <v>9649.11</v>
      </c>
      <c r="Z24" s="2">
        <f t="shared" si="18"/>
        <v>9982.1</v>
      </c>
      <c r="AA24" s="2">
        <f t="shared" si="18"/>
        <v>9615.2000000000007</v>
      </c>
      <c r="AB24" s="2">
        <f t="shared" si="18"/>
        <v>9771.5299999999988</v>
      </c>
      <c r="AD24" s="2">
        <f t="shared" ref="AD24" si="19">SUM(AD4:AD19)</f>
        <v>48704.149999999994</v>
      </c>
    </row>
  </sheetData>
  <phoneticPr fontId="2" type="noConversion"/>
  <pageMargins left="0.7" right="0.7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hassane el baidori</dc:creator>
  <cp:lastModifiedBy>el hassane el baidori</cp:lastModifiedBy>
  <cp:lastPrinted>2026-09-10T10:28:05Z</cp:lastPrinted>
  <dcterms:created xsi:type="dcterms:W3CDTF">2026-09-09T15:47:13Z</dcterms:created>
  <dcterms:modified xsi:type="dcterms:W3CDTF">2026-09-10T10:31:29Z</dcterms:modified>
</cp:coreProperties>
</file>